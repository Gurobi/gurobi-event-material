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dervelden/Code/Gurobi projects/aviation_puzzle/"/>
    </mc:Choice>
  </mc:AlternateContent>
  <xr:revisionPtr revIDLastSave="0" documentId="13_ncr:1_{31ED8D88-8B63-E843-A8E8-2EE9C96388CB}" xr6:coauthVersionLast="47" xr6:coauthVersionMax="47" xr10:uidLastSave="{00000000-0000-0000-0000-000000000000}"/>
  <bookViews>
    <workbookView xWindow="10000" yWindow="2820" windowWidth="27640" windowHeight="16340" activeTab="2" xr2:uid="{59173317-8922-1242-A072-D3EE59A92491}"/>
  </bookViews>
  <sheets>
    <sheet name="Flights" sheetId="1" r:id="rId1"/>
    <sheet name="Routes" sheetId="2" r:id="rId2"/>
    <sheet name="Airplan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F6" i="1"/>
  <c r="F15" i="1"/>
  <c r="F2" i="1"/>
  <c r="F12" i="1"/>
  <c r="F7" i="1"/>
  <c r="F13" i="1"/>
  <c r="F8" i="1"/>
  <c r="F3" i="1"/>
  <c r="F4" i="1"/>
  <c r="F16" i="1"/>
  <c r="F5" i="1"/>
  <c r="F17" i="1"/>
  <c r="F9" i="1"/>
  <c r="F14" i="1"/>
  <c r="F10" i="1"/>
  <c r="F11" i="1"/>
  <c r="L9" i="1"/>
  <c r="H9" i="1"/>
  <c r="K9" i="1" s="1"/>
  <c r="L10" i="1"/>
  <c r="H10" i="1"/>
  <c r="K10" i="1" s="1"/>
  <c r="E10" i="1" s="1"/>
  <c r="G10" i="1" s="1"/>
  <c r="L14" i="1"/>
  <c r="H14" i="1"/>
  <c r="K14" i="1" s="1"/>
  <c r="E14" i="1" s="1"/>
  <c r="G14" i="1" s="1"/>
  <c r="H5" i="1"/>
  <c r="K5" i="1" s="1"/>
  <c r="E5" i="1" s="1"/>
  <c r="H13" i="1"/>
  <c r="K13" i="1" s="1"/>
  <c r="E13" i="1" s="1"/>
  <c r="G13" i="1" s="1"/>
  <c r="L5" i="1"/>
  <c r="L13" i="1"/>
  <c r="L15" i="1"/>
  <c r="H15" i="1"/>
  <c r="K15" i="1" s="1"/>
  <c r="E15" i="1" s="1"/>
  <c r="G15" i="1" s="1"/>
  <c r="L17" i="1"/>
  <c r="L16" i="1"/>
  <c r="H17" i="1"/>
  <c r="K17" i="1" s="1"/>
  <c r="E17" i="1" s="1"/>
  <c r="G17" i="1" s="1"/>
  <c r="H16" i="1"/>
  <c r="K16" i="1" s="1"/>
  <c r="E16" i="1" s="1"/>
  <c r="G16" i="1" s="1"/>
  <c r="H4" i="1"/>
  <c r="K4" i="1" s="1"/>
  <c r="E4" i="1" s="1"/>
  <c r="L4" i="1"/>
  <c r="L3" i="1"/>
  <c r="H3" i="1"/>
  <c r="K3" i="1" s="1"/>
  <c r="E3" i="1" s="1"/>
  <c r="L12" i="1"/>
  <c r="H12" i="1"/>
  <c r="K12" i="1" s="1"/>
  <c r="E12" i="1" s="1"/>
  <c r="G12" i="1" s="1"/>
  <c r="H6" i="1"/>
  <c r="K6" i="1" s="1"/>
  <c r="E6" i="1" s="1"/>
  <c r="G6" i="1" s="1"/>
  <c r="L6" i="1"/>
  <c r="L7" i="1"/>
  <c r="H7" i="1"/>
  <c r="K7" i="1" s="1"/>
  <c r="L11" i="1"/>
  <c r="L2" i="1"/>
  <c r="L8" i="1"/>
  <c r="H11" i="1"/>
  <c r="K11" i="1" s="1"/>
  <c r="H2" i="1"/>
  <c r="K2" i="1" s="1"/>
  <c r="E2" i="1" s="1"/>
  <c r="H8" i="1"/>
  <c r="K8" i="1" s="1"/>
  <c r="M16" i="1" l="1"/>
  <c r="M12" i="1"/>
  <c r="M17" i="1"/>
  <c r="M9" i="1"/>
  <c r="E9" i="1"/>
  <c r="G9" i="1" s="1"/>
  <c r="M10" i="1"/>
  <c r="M14" i="1"/>
  <c r="M5" i="1"/>
  <c r="M13" i="1"/>
  <c r="M15" i="1"/>
  <c r="M4" i="1"/>
  <c r="M3" i="1"/>
  <c r="M6" i="1"/>
  <c r="M2" i="1"/>
  <c r="E8" i="1"/>
  <c r="G8" i="1" s="1"/>
  <c r="M8" i="1"/>
  <c r="E7" i="1"/>
  <c r="G7" i="1" s="1"/>
  <c r="M7" i="1"/>
  <c r="E11" i="1"/>
  <c r="G11" i="1" s="1"/>
  <c r="M11" i="1"/>
  <c r="N1" i="1" l="1"/>
</calcChain>
</file>

<file path=xl/sharedStrings.xml><?xml version="1.0" encoding="utf-8"?>
<sst xmlns="http://schemas.openxmlformats.org/spreadsheetml/2006/main" count="112" uniqueCount="44">
  <si>
    <t>From</t>
  </si>
  <si>
    <t>Departure</t>
  </si>
  <si>
    <t>To</t>
  </si>
  <si>
    <t>Arrival</t>
  </si>
  <si>
    <t>Flight</t>
  </si>
  <si>
    <t>A</t>
  </si>
  <si>
    <t>B</t>
  </si>
  <si>
    <t>C</t>
  </si>
  <si>
    <t>D</t>
  </si>
  <si>
    <t>Route</t>
  </si>
  <si>
    <t>AB</t>
  </si>
  <si>
    <t>Dist</t>
  </si>
  <si>
    <t>AC</t>
  </si>
  <si>
    <t>AD</t>
  </si>
  <si>
    <t>BC</t>
  </si>
  <si>
    <t>BD</t>
  </si>
  <si>
    <t>CD</t>
  </si>
  <si>
    <t>Aircraft</t>
  </si>
  <si>
    <t>Unit cost</t>
  </si>
  <si>
    <t>Cost</t>
  </si>
  <si>
    <t>A1</t>
  </si>
  <si>
    <t>A2</t>
  </si>
  <si>
    <t>A3</t>
  </si>
  <si>
    <t>A4</t>
  </si>
  <si>
    <t>Start</t>
  </si>
  <si>
    <t>Optimized</t>
  </si>
  <si>
    <t xml:space="preserve">Arrival </t>
  </si>
  <si>
    <t>GRB01</t>
  </si>
  <si>
    <t>GRB02</t>
  </si>
  <si>
    <t>GRB03</t>
  </si>
  <si>
    <t>GRB04</t>
  </si>
  <si>
    <t>GRB05</t>
  </si>
  <si>
    <t>GRB06</t>
  </si>
  <si>
    <t>GRB07</t>
  </si>
  <si>
    <t>GRB08</t>
  </si>
  <si>
    <t>GRB09</t>
  </si>
  <si>
    <t>GRB10</t>
  </si>
  <si>
    <t>GRB11</t>
  </si>
  <si>
    <t>GRB12</t>
  </si>
  <si>
    <t>GRB13</t>
  </si>
  <si>
    <t>GRB14</t>
  </si>
  <si>
    <t>GRB15</t>
  </si>
  <si>
    <t>GRB16</t>
  </si>
  <si>
    <t>Airplane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</si>
</sst>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F51D-DE97-5D46-BD72-57F8C4092416}">
  <dimension ref="A1:N17"/>
  <sheetViews>
    <sheetView workbookViewId="0">
      <selection activeCell="D12" sqref="D12"/>
    </sheetView>
  </sheetViews>
  <sheetFormatPr baseColWidth="10" defaultRowHeight="16" x14ac:dyDescent="0.2"/>
  <sheetData>
    <row r="1" spans="1:14" x14ac:dyDescent="0.2">
      <c r="A1" s="1" t="s">
        <v>4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1</v>
      </c>
      <c r="G1" s="1" t="s">
        <v>26</v>
      </c>
      <c r="H1" s="1" t="s">
        <v>9</v>
      </c>
      <c r="I1" s="1" t="s">
        <v>17</v>
      </c>
      <c r="J1" s="1" t="s">
        <v>25</v>
      </c>
      <c r="K1" s="1" t="s">
        <v>11</v>
      </c>
      <c r="L1" s="1" t="s">
        <v>18</v>
      </c>
      <c r="M1" s="1" t="s">
        <v>19</v>
      </c>
      <c r="N1">
        <f>SUM(M2:M17)</f>
        <v>522000</v>
      </c>
    </row>
    <row r="2" spans="1:14" x14ac:dyDescent="0.2">
      <c r="A2" t="s">
        <v>27</v>
      </c>
      <c r="B2" t="s">
        <v>5</v>
      </c>
      <c r="C2" t="s">
        <v>6</v>
      </c>
      <c r="D2">
        <v>4</v>
      </c>
      <c r="E2">
        <f t="shared" ref="E2:E17" si="0">D2+K2</f>
        <v>7</v>
      </c>
      <c r="F2" s="2">
        <f t="shared" ref="F2:F17" si="1">(7+(D2/2))/24</f>
        <v>0.375</v>
      </c>
      <c r="G2" s="2">
        <f t="shared" ref="G2:G17" si="2">(7+(E2/2))/24</f>
        <v>0.4375</v>
      </c>
      <c r="H2" t="str">
        <f t="shared" ref="H2:H17" si="3">IF(B2&lt;C2,B2&amp;C2,C2&amp;B2)</f>
        <v>AB</v>
      </c>
      <c r="I2" t="s">
        <v>20</v>
      </c>
      <c r="J2" t="s">
        <v>20</v>
      </c>
      <c r="K2">
        <f>VLOOKUP(H2,Routes!A$2:B$7,2,FALSE)</f>
        <v>3</v>
      </c>
      <c r="L2">
        <f>VLOOKUP(I2,Airplanes!A$1:B$5,2,FALSE)</f>
        <v>4000</v>
      </c>
      <c r="M2">
        <f t="shared" ref="M2:M17" si="4">L2*K2</f>
        <v>12000</v>
      </c>
    </row>
    <row r="3" spans="1:14" x14ac:dyDescent="0.2">
      <c r="A3" t="s">
        <v>28</v>
      </c>
      <c r="B3" t="s">
        <v>5</v>
      </c>
      <c r="C3" t="s">
        <v>8</v>
      </c>
      <c r="D3">
        <v>13</v>
      </c>
      <c r="E3">
        <f t="shared" si="0"/>
        <v>15</v>
      </c>
      <c r="F3" s="2">
        <f t="shared" si="1"/>
        <v>0.5625</v>
      </c>
      <c r="G3" s="2">
        <f t="shared" si="2"/>
        <v>0.60416666666666663</v>
      </c>
      <c r="H3" t="str">
        <f t="shared" si="3"/>
        <v>AD</v>
      </c>
      <c r="I3" t="s">
        <v>21</v>
      </c>
      <c r="J3" t="s">
        <v>23</v>
      </c>
      <c r="K3">
        <f>VLOOKUP(H3,Routes!A$2:B$7,2,FALSE)</f>
        <v>2</v>
      </c>
      <c r="L3">
        <f>VLOOKUP(I3,Airplanes!A$1:B$5,2,FALSE)</f>
        <v>6000</v>
      </c>
      <c r="M3">
        <f t="shared" si="4"/>
        <v>12000</v>
      </c>
    </row>
    <row r="4" spans="1:14" x14ac:dyDescent="0.2">
      <c r="A4" t="s">
        <v>29</v>
      </c>
      <c r="B4" t="s">
        <v>5</v>
      </c>
      <c r="C4" t="s">
        <v>7</v>
      </c>
      <c r="D4">
        <v>14</v>
      </c>
      <c r="E4">
        <f t="shared" si="0"/>
        <v>20</v>
      </c>
      <c r="F4" s="2">
        <f t="shared" si="1"/>
        <v>0.58333333333333337</v>
      </c>
      <c r="G4" s="2">
        <f t="shared" si="2"/>
        <v>0.70833333333333337</v>
      </c>
      <c r="H4" t="str">
        <f t="shared" si="3"/>
        <v>AC</v>
      </c>
      <c r="I4" t="s">
        <v>23</v>
      </c>
      <c r="J4" t="s">
        <v>21</v>
      </c>
      <c r="K4">
        <f>VLOOKUP(H4,Routes!A$2:B$7,2,FALSE)</f>
        <v>6</v>
      </c>
      <c r="L4">
        <f>VLOOKUP(I4,Airplanes!A$1:B$5,2,FALSE)</f>
        <v>10000</v>
      </c>
      <c r="M4">
        <f t="shared" si="4"/>
        <v>60000</v>
      </c>
    </row>
    <row r="5" spans="1:14" x14ac:dyDescent="0.2">
      <c r="A5" t="s">
        <v>30</v>
      </c>
      <c r="B5" t="s">
        <v>5</v>
      </c>
      <c r="C5" t="s">
        <v>6</v>
      </c>
      <c r="D5">
        <v>15</v>
      </c>
      <c r="E5">
        <f t="shared" si="0"/>
        <v>18</v>
      </c>
      <c r="F5" s="2">
        <f t="shared" si="1"/>
        <v>0.60416666666666663</v>
      </c>
      <c r="G5" s="2">
        <f t="shared" si="2"/>
        <v>0.66666666666666663</v>
      </c>
      <c r="H5" t="str">
        <f t="shared" si="3"/>
        <v>AB</v>
      </c>
      <c r="I5" t="s">
        <v>22</v>
      </c>
      <c r="J5" t="s">
        <v>22</v>
      </c>
      <c r="K5">
        <f>VLOOKUP(H5,Routes!A$2:B$7,2,FALSE)</f>
        <v>3</v>
      </c>
      <c r="L5">
        <f>VLOOKUP(I5,Airplanes!A$1:B$5,2,FALSE)</f>
        <v>8000</v>
      </c>
      <c r="M5">
        <f t="shared" si="4"/>
        <v>24000</v>
      </c>
    </row>
    <row r="6" spans="1:14" x14ac:dyDescent="0.2">
      <c r="A6" t="s">
        <v>31</v>
      </c>
      <c r="B6" t="s">
        <v>6</v>
      </c>
      <c r="C6" t="s">
        <v>7</v>
      </c>
      <c r="D6">
        <v>1</v>
      </c>
      <c r="E6">
        <f t="shared" si="0"/>
        <v>6</v>
      </c>
      <c r="F6" s="2">
        <f t="shared" si="1"/>
        <v>0.3125</v>
      </c>
      <c r="G6" s="2">
        <f t="shared" si="2"/>
        <v>0.41666666666666669</v>
      </c>
      <c r="H6" t="str">
        <f t="shared" si="3"/>
        <v>BC</v>
      </c>
      <c r="I6" t="s">
        <v>21</v>
      </c>
      <c r="J6" t="s">
        <v>21</v>
      </c>
      <c r="K6">
        <f>VLOOKUP(H6,Routes!A$2:B$7,2,FALSE)</f>
        <v>5</v>
      </c>
      <c r="L6">
        <f>VLOOKUP(I6,Airplanes!A$1:B$5,2,FALSE)</f>
        <v>6000</v>
      </c>
      <c r="M6">
        <f t="shared" si="4"/>
        <v>30000</v>
      </c>
    </row>
    <row r="7" spans="1:14" x14ac:dyDescent="0.2">
      <c r="A7" t="s">
        <v>32</v>
      </c>
      <c r="B7" t="s">
        <v>6</v>
      </c>
      <c r="C7" t="s">
        <v>8</v>
      </c>
      <c r="D7">
        <v>7</v>
      </c>
      <c r="E7">
        <f t="shared" si="0"/>
        <v>13</v>
      </c>
      <c r="F7" s="2">
        <f t="shared" si="1"/>
        <v>0.4375</v>
      </c>
      <c r="G7" s="2">
        <f t="shared" si="2"/>
        <v>0.5625</v>
      </c>
      <c r="H7" t="str">
        <f t="shared" si="3"/>
        <v>BD</v>
      </c>
      <c r="I7" t="s">
        <v>20</v>
      </c>
      <c r="J7" t="s">
        <v>20</v>
      </c>
      <c r="K7">
        <f>VLOOKUP(H7,Routes!A$2:B$7,2,FALSE)</f>
        <v>6</v>
      </c>
      <c r="L7">
        <f>VLOOKUP(I7,Airplanes!A$1:B$5,2,FALSE)</f>
        <v>4000</v>
      </c>
      <c r="M7">
        <f t="shared" si="4"/>
        <v>24000</v>
      </c>
    </row>
    <row r="8" spans="1:14" x14ac:dyDescent="0.2">
      <c r="A8" t="s">
        <v>33</v>
      </c>
      <c r="B8" t="s">
        <v>6</v>
      </c>
      <c r="C8" t="s">
        <v>5</v>
      </c>
      <c r="D8">
        <v>8</v>
      </c>
      <c r="E8">
        <f t="shared" si="0"/>
        <v>11</v>
      </c>
      <c r="F8" s="2">
        <f t="shared" si="1"/>
        <v>0.45833333333333331</v>
      </c>
      <c r="G8" s="2">
        <f t="shared" si="2"/>
        <v>0.52083333333333337</v>
      </c>
      <c r="H8" t="str">
        <f t="shared" si="3"/>
        <v>AB</v>
      </c>
      <c r="I8" t="s">
        <v>23</v>
      </c>
      <c r="J8" t="s">
        <v>22</v>
      </c>
      <c r="K8">
        <f>VLOOKUP(H8,Routes!A$2:B$7,2,FALSE)</f>
        <v>3</v>
      </c>
      <c r="L8">
        <f>VLOOKUP(I8,Airplanes!A$1:B$5,2,FALSE)</f>
        <v>10000</v>
      </c>
      <c r="M8">
        <f t="shared" si="4"/>
        <v>30000</v>
      </c>
    </row>
    <row r="9" spans="1:14" x14ac:dyDescent="0.2">
      <c r="A9" t="s">
        <v>34</v>
      </c>
      <c r="B9" t="s">
        <v>6</v>
      </c>
      <c r="C9" t="s">
        <v>8</v>
      </c>
      <c r="D9">
        <v>19</v>
      </c>
      <c r="E9">
        <f t="shared" si="0"/>
        <v>25</v>
      </c>
      <c r="F9" s="2">
        <f t="shared" si="1"/>
        <v>0.6875</v>
      </c>
      <c r="G9" s="2">
        <f t="shared" si="2"/>
        <v>0.8125</v>
      </c>
      <c r="H9" t="str">
        <f t="shared" si="3"/>
        <v>BD</v>
      </c>
      <c r="I9" t="s">
        <v>22</v>
      </c>
      <c r="J9" t="s">
        <v>22</v>
      </c>
      <c r="K9">
        <f>VLOOKUP(H9,Routes!A$2:B$7,2,FALSE)</f>
        <v>6</v>
      </c>
      <c r="L9">
        <f>VLOOKUP(I9,Airplanes!A$1:B$5,2,FALSE)</f>
        <v>8000</v>
      </c>
      <c r="M9">
        <f t="shared" si="4"/>
        <v>48000</v>
      </c>
    </row>
    <row r="10" spans="1:14" x14ac:dyDescent="0.2">
      <c r="A10" t="s">
        <v>35</v>
      </c>
      <c r="B10" t="s">
        <v>6</v>
      </c>
      <c r="C10" t="s">
        <v>7</v>
      </c>
      <c r="D10">
        <v>21</v>
      </c>
      <c r="E10">
        <f t="shared" si="0"/>
        <v>26</v>
      </c>
      <c r="F10" s="2">
        <f t="shared" si="1"/>
        <v>0.72916666666666663</v>
      </c>
      <c r="G10" s="2">
        <f t="shared" si="2"/>
        <v>0.83333333333333337</v>
      </c>
      <c r="H10" t="str">
        <f t="shared" si="3"/>
        <v>BC</v>
      </c>
      <c r="I10" t="s">
        <v>20</v>
      </c>
      <c r="J10" t="s">
        <v>20</v>
      </c>
      <c r="K10">
        <f>VLOOKUP(H10,Routes!A$2:B$7,2,FALSE)</f>
        <v>5</v>
      </c>
      <c r="L10">
        <f>VLOOKUP(I10,Airplanes!A$1:B$5,2,FALSE)</f>
        <v>4000</v>
      </c>
      <c r="M10">
        <f t="shared" si="4"/>
        <v>20000</v>
      </c>
    </row>
    <row r="11" spans="1:14" x14ac:dyDescent="0.2">
      <c r="A11" t="s">
        <v>36</v>
      </c>
      <c r="B11" t="s">
        <v>7</v>
      </c>
      <c r="C11" t="s">
        <v>6</v>
      </c>
      <c r="D11">
        <v>1</v>
      </c>
      <c r="E11">
        <f t="shared" si="0"/>
        <v>6</v>
      </c>
      <c r="F11" s="2">
        <f t="shared" si="1"/>
        <v>0.3125</v>
      </c>
      <c r="G11" s="2">
        <f t="shared" si="2"/>
        <v>0.41666666666666669</v>
      </c>
      <c r="H11" t="str">
        <f t="shared" si="3"/>
        <v>BC</v>
      </c>
      <c r="I11" t="s">
        <v>23</v>
      </c>
      <c r="J11" t="s">
        <v>22</v>
      </c>
      <c r="K11">
        <f>VLOOKUP(H11,Routes!A$2:B$7,2,FALSE)</f>
        <v>5</v>
      </c>
      <c r="L11">
        <f>VLOOKUP(I11,Airplanes!A$1:B$5,2,FALSE)</f>
        <v>10000</v>
      </c>
      <c r="M11">
        <f t="shared" si="4"/>
        <v>50000</v>
      </c>
    </row>
    <row r="12" spans="1:14" x14ac:dyDescent="0.2">
      <c r="A12" t="s">
        <v>37</v>
      </c>
      <c r="B12" t="s">
        <v>7</v>
      </c>
      <c r="C12" t="s">
        <v>5</v>
      </c>
      <c r="D12">
        <v>6</v>
      </c>
      <c r="E12">
        <f t="shared" si="0"/>
        <v>12</v>
      </c>
      <c r="F12" s="2">
        <f t="shared" si="1"/>
        <v>0.41666666666666669</v>
      </c>
      <c r="G12" s="2">
        <f t="shared" si="2"/>
        <v>0.54166666666666663</v>
      </c>
      <c r="H12" t="str">
        <f t="shared" si="3"/>
        <v>AC</v>
      </c>
      <c r="I12" t="s">
        <v>21</v>
      </c>
      <c r="J12" t="s">
        <v>21</v>
      </c>
      <c r="K12">
        <f>VLOOKUP(H12,Routes!A$2:B$7,2,FALSE)</f>
        <v>6</v>
      </c>
      <c r="L12">
        <f>VLOOKUP(I12,Airplanes!A$1:B$5,2,FALSE)</f>
        <v>6000</v>
      </c>
      <c r="M12">
        <f t="shared" si="4"/>
        <v>36000</v>
      </c>
    </row>
    <row r="13" spans="1:14" x14ac:dyDescent="0.2">
      <c r="A13" t="s">
        <v>38</v>
      </c>
      <c r="B13" t="s">
        <v>7</v>
      </c>
      <c r="C13" t="s">
        <v>5</v>
      </c>
      <c r="D13">
        <v>7</v>
      </c>
      <c r="E13">
        <f t="shared" si="0"/>
        <v>13</v>
      </c>
      <c r="F13" s="2">
        <f t="shared" si="1"/>
        <v>0.4375</v>
      </c>
      <c r="G13" s="2">
        <f t="shared" si="2"/>
        <v>0.5625</v>
      </c>
      <c r="H13" t="str">
        <f t="shared" si="3"/>
        <v>AC</v>
      </c>
      <c r="I13" t="s">
        <v>22</v>
      </c>
      <c r="J13" t="s">
        <v>23</v>
      </c>
      <c r="K13">
        <f>VLOOKUP(H13,Routes!A$2:B$7,2,FALSE)</f>
        <v>6</v>
      </c>
      <c r="L13">
        <f>VLOOKUP(I13,Airplanes!A$1:B$5,2,FALSE)</f>
        <v>8000</v>
      </c>
      <c r="M13">
        <f t="shared" si="4"/>
        <v>48000</v>
      </c>
    </row>
    <row r="14" spans="1:14" x14ac:dyDescent="0.2">
      <c r="A14" t="s">
        <v>39</v>
      </c>
      <c r="B14" t="s">
        <v>7</v>
      </c>
      <c r="C14" t="s">
        <v>5</v>
      </c>
      <c r="D14">
        <v>20</v>
      </c>
      <c r="E14">
        <f t="shared" si="0"/>
        <v>26</v>
      </c>
      <c r="F14" s="2">
        <f t="shared" si="1"/>
        <v>0.70833333333333337</v>
      </c>
      <c r="G14" s="2">
        <f t="shared" si="2"/>
        <v>0.83333333333333337</v>
      </c>
      <c r="H14" t="str">
        <f t="shared" si="3"/>
        <v>AC</v>
      </c>
      <c r="I14" t="s">
        <v>22</v>
      </c>
      <c r="J14" t="s">
        <v>21</v>
      </c>
      <c r="K14">
        <f>VLOOKUP(H14,Routes!A$2:B$7,2,FALSE)</f>
        <v>6</v>
      </c>
      <c r="L14">
        <f>VLOOKUP(I14,Airplanes!A$1:B$5,2,FALSE)</f>
        <v>8000</v>
      </c>
      <c r="M14">
        <f t="shared" si="4"/>
        <v>48000</v>
      </c>
    </row>
    <row r="15" spans="1:14" x14ac:dyDescent="0.2">
      <c r="A15" t="s">
        <v>40</v>
      </c>
      <c r="B15" t="s">
        <v>8</v>
      </c>
      <c r="C15" t="s">
        <v>7</v>
      </c>
      <c r="D15">
        <v>2</v>
      </c>
      <c r="E15">
        <f t="shared" si="0"/>
        <v>6</v>
      </c>
      <c r="F15" s="2">
        <f t="shared" si="1"/>
        <v>0.33333333333333331</v>
      </c>
      <c r="G15" s="2">
        <f t="shared" si="2"/>
        <v>0.41666666666666669</v>
      </c>
      <c r="H15" t="str">
        <f t="shared" si="3"/>
        <v>CD</v>
      </c>
      <c r="I15" t="s">
        <v>22</v>
      </c>
      <c r="J15" t="s">
        <v>23</v>
      </c>
      <c r="K15">
        <f>VLOOKUP(H15,Routes!A$2:B$7,2,FALSE)</f>
        <v>4</v>
      </c>
      <c r="L15">
        <f>VLOOKUP(I15,Airplanes!A$1:B$5,2,FALSE)</f>
        <v>8000</v>
      </c>
      <c r="M15">
        <f t="shared" si="4"/>
        <v>32000</v>
      </c>
    </row>
    <row r="16" spans="1:14" x14ac:dyDescent="0.2">
      <c r="A16" t="s">
        <v>41</v>
      </c>
      <c r="B16" t="s">
        <v>8</v>
      </c>
      <c r="C16" t="s">
        <v>6</v>
      </c>
      <c r="D16">
        <v>14</v>
      </c>
      <c r="E16">
        <f t="shared" si="0"/>
        <v>20</v>
      </c>
      <c r="F16" s="2">
        <f t="shared" si="1"/>
        <v>0.58333333333333337</v>
      </c>
      <c r="G16" s="2">
        <f t="shared" si="2"/>
        <v>0.70833333333333337</v>
      </c>
      <c r="H16" t="str">
        <f t="shared" si="3"/>
        <v>BD</v>
      </c>
      <c r="I16" t="s">
        <v>20</v>
      </c>
      <c r="J16" t="s">
        <v>20</v>
      </c>
      <c r="K16">
        <f>VLOOKUP(H16,Routes!A$2:B$7,2,FALSE)</f>
        <v>6</v>
      </c>
      <c r="L16">
        <f>VLOOKUP(I16,Airplanes!A$1:B$5,2,FALSE)</f>
        <v>4000</v>
      </c>
      <c r="M16">
        <f t="shared" si="4"/>
        <v>24000</v>
      </c>
    </row>
    <row r="17" spans="1:13" x14ac:dyDescent="0.2">
      <c r="A17" t="s">
        <v>42</v>
      </c>
      <c r="B17" t="s">
        <v>8</v>
      </c>
      <c r="C17" t="s">
        <v>7</v>
      </c>
      <c r="D17">
        <v>16</v>
      </c>
      <c r="E17">
        <f t="shared" si="0"/>
        <v>20</v>
      </c>
      <c r="F17" s="2">
        <f t="shared" si="1"/>
        <v>0.625</v>
      </c>
      <c r="G17" s="2">
        <f t="shared" si="2"/>
        <v>0.70833333333333337</v>
      </c>
      <c r="H17" t="str">
        <f t="shared" si="3"/>
        <v>CD</v>
      </c>
      <c r="I17" t="s">
        <v>21</v>
      </c>
      <c r="J17" t="s">
        <v>23</v>
      </c>
      <c r="K17">
        <f>VLOOKUP(H17,Routes!A$2:B$7,2,FALSE)</f>
        <v>4</v>
      </c>
      <c r="L17">
        <f>VLOOKUP(I17,Airplanes!A$1:B$5,2,FALSE)</f>
        <v>6000</v>
      </c>
      <c r="M17">
        <f t="shared" si="4"/>
        <v>24000</v>
      </c>
    </row>
  </sheetData>
  <sortState xmlns:xlrd2="http://schemas.microsoft.com/office/spreadsheetml/2017/richdata2" ref="A2:M17">
    <sortCondition ref="B2:B17"/>
    <sortCondition ref="D2:D1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5E65-936A-5745-B988-6D37C505FB25}">
  <dimension ref="A1:B7"/>
  <sheetViews>
    <sheetView workbookViewId="0">
      <selection activeCell="B6" sqref="B6"/>
    </sheetView>
  </sheetViews>
  <sheetFormatPr baseColWidth="10" defaultRowHeight="16" x14ac:dyDescent="0.2"/>
  <sheetData>
    <row r="1" spans="1:2" x14ac:dyDescent="0.2">
      <c r="A1" s="1" t="s">
        <v>9</v>
      </c>
      <c r="B1" s="1" t="s">
        <v>11</v>
      </c>
    </row>
    <row r="2" spans="1:2" x14ac:dyDescent="0.2">
      <c r="A2" t="s">
        <v>10</v>
      </c>
      <c r="B2">
        <v>3</v>
      </c>
    </row>
    <row r="3" spans="1:2" x14ac:dyDescent="0.2">
      <c r="A3" t="s">
        <v>12</v>
      </c>
      <c r="B3">
        <v>6</v>
      </c>
    </row>
    <row r="4" spans="1:2" x14ac:dyDescent="0.2">
      <c r="A4" t="s">
        <v>13</v>
      </c>
      <c r="B4">
        <v>2</v>
      </c>
    </row>
    <row r="5" spans="1:2" x14ac:dyDescent="0.2">
      <c r="A5" t="s">
        <v>14</v>
      </c>
      <c r="B5">
        <v>5</v>
      </c>
    </row>
    <row r="6" spans="1:2" x14ac:dyDescent="0.2">
      <c r="A6" t="s">
        <v>15</v>
      </c>
      <c r="B6">
        <v>6</v>
      </c>
    </row>
    <row r="7" spans="1:2" x14ac:dyDescent="0.2">
      <c r="A7" t="s">
        <v>16</v>
      </c>
      <c r="B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A1AFD-4082-744B-BEC3-6DCC702CA7E7}">
  <dimension ref="A1:C5"/>
  <sheetViews>
    <sheetView tabSelected="1" workbookViewId="0">
      <selection activeCell="B2" sqref="B2"/>
    </sheetView>
  </sheetViews>
  <sheetFormatPr baseColWidth="10" defaultRowHeight="16" x14ac:dyDescent="0.2"/>
  <sheetData>
    <row r="1" spans="1:3" x14ac:dyDescent="0.2">
      <c r="A1" s="1" t="s">
        <v>43</v>
      </c>
      <c r="B1" s="1" t="s">
        <v>19</v>
      </c>
      <c r="C1" s="1" t="s">
        <v>24</v>
      </c>
    </row>
    <row r="2" spans="1:3" x14ac:dyDescent="0.2">
      <c r="A2" t="s">
        <v>20</v>
      </c>
      <c r="B2">
        <v>4000</v>
      </c>
      <c r="C2" t="s">
        <v>5</v>
      </c>
    </row>
    <row r="3" spans="1:3" x14ac:dyDescent="0.2">
      <c r="A3" t="s">
        <v>22</v>
      </c>
      <c r="B3">
        <v>8000</v>
      </c>
      <c r="C3" t="s">
        <v>7</v>
      </c>
    </row>
    <row r="4" spans="1:3" x14ac:dyDescent="0.2">
      <c r="A4" t="s">
        <v>21</v>
      </c>
      <c r="B4">
        <v>6000</v>
      </c>
      <c r="C4" t="s">
        <v>6</v>
      </c>
    </row>
    <row r="5" spans="1:3" x14ac:dyDescent="0.2">
      <c r="A5" t="s">
        <v>23</v>
      </c>
      <c r="B5">
        <v>10000</v>
      </c>
      <c r="C5" t="s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3f1d6e-ad07-4793-8fd6-de843688e24e}" enabled="1" method="Standard" siteId="{ce36a986-caaa-4efd-b17a-7722807f115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Routes</vt:lpstr>
      <vt:lpstr>Airplanes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van der Velden</dc:creator>
  <cp:lastModifiedBy>Ronald van der Velden</cp:lastModifiedBy>
  <dcterms:created xsi:type="dcterms:W3CDTF">2025-10-13T20:02:14Z</dcterms:created>
  <dcterms:modified xsi:type="dcterms:W3CDTF">2026-03-18T19:22:32Z</dcterms:modified>
</cp:coreProperties>
</file>